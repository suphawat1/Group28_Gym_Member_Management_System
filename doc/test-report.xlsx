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นะนำ" sheetId="1" state="visible" r:id="rId3"/>
    <sheet name="สรุปผล" sheetId="2" state="visible" r:id="rId4"/>
    <sheet name="รายละเอียดเทสเคส" sheetId="3" state="visible" r:id="rId5"/>
  </sheets>
  <definedNames>
    <definedName function="false" hidden="true" localSheetId="2" name="_xlnm._FilterDatabase" vbProcedure="false">รายละเอียดเทสเคส!$A$1:$F$58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<sst xmlns="http://schemas.openxmlformats.org/spreadsheetml/2006/main" count="281" uniqueCount="112">
  <si>
    <t xml:space="preserve">Test Report — Gym Member Management System (Group 28)</t>
  </si>
  <si>
    <t xml:space="preserve">สรุปผลการทดสอบ Unit Test ของ Service Layer</t>
  </si>
  <si>
    <t xml:space="preserve">วัตถุประสงค์</t>
  </si>
  <si>
    <t xml:space="preserve">ตรวจสอบว่า business logic ใน Service Layer ของระบบจัดการสมาชิกฟิตเนสทำงานถูกต้อง ก่อนส่งมอบงาน</t>
  </si>
  <si>
    <t xml:space="preserve">ขอบเขตการทดสอบ</t>
  </si>
  <si>
    <t xml:space="preserve">6 คลาส: Member, Membership, MembershipPlan, Trainer, MemberInfo, TrainingSession (ไฟล์ *ServiceImplTest) รวม 57 เทสเคส</t>
  </si>
  <si>
    <t xml:space="preserve">วิธีการทดสอบ</t>
  </si>
  <si>
    <t xml:space="preserve">Unit Test ด้วย JUnit 5 และ Mockito (จำลอง dependency ของ service) ไม่ต่อฐานข้อมูลจริงและไม่เปิดเว็บเซิร์ฟเวอร์ เพื่อให้รันเร็วและผลคงที่</t>
  </si>
  <si>
    <t xml:space="preserve">คำสั่งที่ใช้รัน</t>
  </si>
  <si>
    <t xml:space="preserve">cd code &amp;&amp; ./mvnw test -Dtest='*ServiceImplTest'</t>
  </si>
  <si>
    <t xml:space="preserve">สภาพแวดล้อม</t>
  </si>
  <si>
    <t xml:space="preserve">Java 21, Spring Boot 4.1.1, Maven Wrapper, Maven Surefire 3.5.6</t>
  </si>
  <si>
    <t xml:space="preserve">วันที่ทดสอบ</t>
  </si>
  <si>
    <t xml:space="preserve">10 ตุลาคม 2026</t>
  </si>
  <si>
    <t xml:space="preserve">เกณฑ์ผ่าน</t>
  </si>
  <si>
    <t xml:space="preserve">ทุกเทสเคสต้องได้ผล PASS (Failures = 0, Errors = 0) และ Maven แสดง BUILD SUCCESS</t>
  </si>
  <si>
    <t xml:space="preserve">ผลโดยรวม</t>
  </si>
  <si>
    <t xml:space="preserve">BUILD SUCCESS — ผ่าน 57 จาก 57 เทสเคส (รายละเอียดดูชีต "สรุปผล")</t>
  </si>
  <si>
    <t xml:space="preserve">หมายเหตุ</t>
  </si>
  <si>
    <t xml:space="preserve">การรัน ./mvnw test ทั้งโปรเจกต์ จะมี MembershipApplicationTests (ตรวจว่า Spring context บูตและต่อ DB ได้) เพิ่มอีก 1 เทสต์ รวมเป็น 58 รายงานนี้นับเฉพาะ 57 เทสเคสของ service</t>
  </si>
  <si>
    <t xml:space="preserve">แท็บในไฟล์นี้</t>
  </si>
  <si>
    <t xml:space="preserve">สรุปผล</t>
  </si>
  <si>
    <t xml:space="preserve">ตัวเลขรวม ตารางแยกตามคลาส และกราฟ (คำนวณด้วยสูตรจากชีตรายละเอียด)</t>
  </si>
  <si>
    <t xml:space="preserve">รายละเอียดเทสเคส</t>
  </si>
  <si>
    <t xml:space="preserve">รายการเทสเคสทั้ง 57 ข้อ พร้อม Test ID คลาส และผลลัพธ์</t>
  </si>
  <si>
    <t xml:space="preserve">สรุปผลการทดสอบ</t>
  </si>
  <si>
    <t xml:space="preserve">Total tests</t>
  </si>
  <si>
    <t xml:space="preserve">Passed</t>
  </si>
  <si>
    <t xml:space="preserve">Failed</t>
  </si>
  <si>
    <t xml:space="preserve">Pass rate</t>
  </si>
  <si>
    <t xml:space="preserve">Test Class</t>
  </si>
  <si>
    <t xml:space="preserve">Tests</t>
  </si>
  <si>
    <t xml:space="preserve">เวลา (วินาที)</t>
  </si>
  <si>
    <t xml:space="preserve">สถานะ</t>
  </si>
  <si>
    <t xml:space="preserve">MemberServiceImplTest</t>
  </si>
  <si>
    <t xml:space="preserve">MembershipServiceImplTest</t>
  </si>
  <si>
    <t xml:space="preserve">MembershipPlanServiceImplTest</t>
  </si>
  <si>
    <t xml:space="preserve">TrainerServiceImplTest</t>
  </si>
  <si>
    <t xml:space="preserve">MemberInfoServiceImplTest</t>
  </si>
  <si>
    <t xml:space="preserve">TrainingSessionServiceImplTest</t>
  </si>
  <si>
    <t xml:space="preserve">รวม</t>
  </si>
  <si>
    <t xml:space="preserve">หมายเหตุ: ตัวเลขสีน้ำเงิน (เวลา) คัดจาก log การรัน Maven ของคลาสนั้นโดยตรง ส่วนจำนวนเทสต์/ผ่าน/ไม่ผ่านคำนวณจากชีต "รายละเอียดเทสเคส"</t>
  </si>
  <si>
    <t xml:space="preserve">ผลโดยรวมจาก Maven: BUILD SUCCESS, Tests run: 57, Failures: 0, Errors: 0, Skipped: 0</t>
  </si>
  <si>
    <t xml:space="preserve">Test ID</t>
  </si>
  <si>
    <t xml:space="preserve">Service ที่ทดสอบ</t>
  </si>
  <si>
    <t xml:space="preserve">ชื่อเทสต์ (method)</t>
  </si>
  <si>
    <t xml:space="preserve">ผลลัพธ์</t>
  </si>
  <si>
    <t xml:space="preserve">TC-001</t>
  </si>
  <si>
    <t xml:space="preserve">Member</t>
  </si>
  <si>
    <t xml:space="preserve">PASS</t>
  </si>
  <si>
    <t xml:space="preserve">TC-002</t>
  </si>
  <si>
    <t xml:space="preserve">TC-003</t>
  </si>
  <si>
    <t xml:space="preserve">TC-004</t>
  </si>
  <si>
    <t xml:space="preserve">TC-005</t>
  </si>
  <si>
    <t xml:space="preserve">TC-006</t>
  </si>
  <si>
    <t xml:space="preserve">TC-007</t>
  </si>
  <si>
    <t xml:space="preserve">TC-008</t>
  </si>
  <si>
    <t xml:space="preserve">TC-009</t>
  </si>
  <si>
    <t xml:space="preserve">TC-010</t>
  </si>
  <si>
    <t xml:space="preserve">TC-011</t>
  </si>
  <si>
    <t xml:space="preserve">TC-012</t>
  </si>
  <si>
    <t xml:space="preserve">TC-013</t>
  </si>
  <si>
    <t xml:space="preserve">TC-014</t>
  </si>
  <si>
    <t xml:space="preserve">TC-015</t>
  </si>
  <si>
    <t xml:space="preserve">Membership</t>
  </si>
  <si>
    <t xml:space="preserve">TC-016</t>
  </si>
  <si>
    <t xml:space="preserve">TC-017</t>
  </si>
  <si>
    <t xml:space="preserve">TC-018</t>
  </si>
  <si>
    <t xml:space="preserve">TC-019</t>
  </si>
  <si>
    <t xml:space="preserve">TC-020</t>
  </si>
  <si>
    <t xml:space="preserve">TC-021</t>
  </si>
  <si>
    <t xml:space="preserve">TC-022</t>
  </si>
  <si>
    <t xml:space="preserve">TC-023</t>
  </si>
  <si>
    <t xml:space="preserve">TC-024</t>
  </si>
  <si>
    <t xml:space="preserve">MembershipPlan</t>
  </si>
  <si>
    <t xml:space="preserve">TC-025</t>
  </si>
  <si>
    <t xml:space="preserve">TC-026</t>
  </si>
  <si>
    <t xml:space="preserve">TC-027</t>
  </si>
  <si>
    <t xml:space="preserve">TC-028</t>
  </si>
  <si>
    <t xml:space="preserve">TC-029</t>
  </si>
  <si>
    <t xml:space="preserve">TC-030</t>
  </si>
  <si>
    <t xml:space="preserve">TC-031</t>
  </si>
  <si>
    <t xml:space="preserve">Trainer</t>
  </si>
  <si>
    <t xml:space="preserve">TC-032</t>
  </si>
  <si>
    <t xml:space="preserve">TC-033</t>
  </si>
  <si>
    <t xml:space="preserve">TC-034</t>
  </si>
  <si>
    <t xml:space="preserve">TC-035</t>
  </si>
  <si>
    <t xml:space="preserve">TC-036</t>
  </si>
  <si>
    <t xml:space="preserve">TC-037</t>
  </si>
  <si>
    <t xml:space="preserve">TC-038</t>
  </si>
  <si>
    <t xml:space="preserve">MemberInfo</t>
  </si>
  <si>
    <t xml:space="preserve">TC-039</t>
  </si>
  <si>
    <t xml:space="preserve">TC-040</t>
  </si>
  <si>
    <t xml:space="preserve">TC-041</t>
  </si>
  <si>
    <t xml:space="preserve">TC-042</t>
  </si>
  <si>
    <t xml:space="preserve">TC-043</t>
  </si>
  <si>
    <t xml:space="preserve">TC-044</t>
  </si>
  <si>
    <t xml:space="preserve">TC-045</t>
  </si>
  <si>
    <t xml:space="preserve">TC-046</t>
  </si>
  <si>
    <t xml:space="preserve">TC-047</t>
  </si>
  <si>
    <t xml:space="preserve">TC-048</t>
  </si>
  <si>
    <t xml:space="preserve">TC-049</t>
  </si>
  <si>
    <t xml:space="preserve">TC-050</t>
  </si>
  <si>
    <t xml:space="preserve">TrainingSession</t>
  </si>
  <si>
    <t xml:space="preserve">TC-051</t>
  </si>
  <si>
    <t xml:space="preserve">TC-052</t>
  </si>
  <si>
    <t xml:space="preserve">TC-053</t>
  </si>
  <si>
    <t xml:space="preserve">TC-054</t>
  </si>
  <si>
    <t xml:space="preserve">TC-055</t>
  </si>
  <si>
    <t xml:space="preserve">TC-056</t>
  </si>
  <si>
    <t xml:space="preserve">TC-057</t>
  </si>
  <si>
    <t xml:space="preserve">ช่องสีเหลือง = ชื่อ method ของแต่ละเทสต์ ให้กรอกเพิ่ม (ดึงรายชื่อได้จาก code/target/surefire-reports/*.xml) ช่องผลลัพธ์เลือกได้: PASS / FAIL / SKIPPED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</si>
</sst>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General"/>
    <numFmt numFmtId="168" formatCode="0%"/>
    <numFmt numFmtId="169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3A8A"/>
      <name val="Arial"/>
      <family val="0"/>
      <charset val="1"/>
    </font>
    <font>
      <sz val="12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E3A8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1"/>
      <color rgb="FF16A34A"/>
      <name val="Arial"/>
      <family val="0"/>
      <charset val="1"/>
    </font>
    <font>
      <i val="true"/>
      <sz val="11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3F4F6"/>
        <bgColor rgb="FFF9F9F9"/>
      </patternFill>
    </fill>
    <fill>
      <patternFill patternType="solid">
        <fgColor rgb="FFDCFCE7"/>
        <bgColor rgb="FFF3F4F6"/>
      </patternFill>
    </fill>
    <fill>
      <patternFill patternType="solid">
        <fgColor rgb="FF1E3A8A"/>
        <bgColor rgb="FF003366"/>
      </patternFill>
    </fill>
    <fill>
      <patternFill patternType="solid">
        <fgColor rgb="FFE5E7EB"/>
        <bgColor rgb="FFF3F4F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E3A8A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16A34A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B7280"/>
      <rgbColor rgb="FF4F81BD"/>
      <rgbColor rgb="FF003366"/>
      <rgbColor rgb="FF16A34A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จำนวนเทสต์ต่อคลาส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สรุปผล!B9</c:f>
              <c:strCache>
                <c:ptCount val="1"/>
                <c:pt idx="0">
                  <c:v>Tests</c:v>
                </c:pt>
              </c:strCache>
            </c:strRef>
          </c:tx>
          <c:spPr>
            <a:solidFill>
              <a:srgbClr val="1e3a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สรุปผล!$A$10:$A$15</c:f>
              <c:strCache>
                <c:ptCount val="6"/>
                <c:pt idx="0">
                  <c:v>MemberServiceImplTest</c:v>
                </c:pt>
                <c:pt idx="1">
                  <c:v>MembershipServiceImplTest</c:v>
                </c:pt>
                <c:pt idx="2">
                  <c:v>MembershipPlanServiceImplTest</c:v>
                </c:pt>
                <c:pt idx="3">
                  <c:v>TrainerServiceImplTest</c:v>
                </c:pt>
                <c:pt idx="4">
                  <c:v>MemberInfoServiceImplTest</c:v>
                </c:pt>
                <c:pt idx="5">
                  <c:v>TrainingSessionServiceImplTest</c:v>
                </c:pt>
              </c:strCache>
            </c:strRef>
          </c:cat>
          <c:val>
            <c:numRef>
              <c:f>สรุปผล!$B$10:$B$15</c:f>
              <c:numCache>
                <c:formatCode>General</c:formatCode>
                <c:ptCount val="6"/>
                <c:pt idx="0">
                  <c:v>14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12</c:v>
                </c:pt>
                <c:pt idx="5">
                  <c:v>8</c:v>
                </c:pt>
              </c:numCache>
            </c:numRef>
          </c:val>
        </c:ser>
        <c:gapWidth val="150"/>
        <c:overlap val="0"/>
        <c:axId val="19194813"/>
        <c:axId val="9326514"/>
      </c:barChart>
      <c:catAx>
        <c:axId val="191948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6514"/>
        <c:crosses val="autoZero"/>
        <c:auto val="1"/>
        <c:lblAlgn val="ctr"/>
        <c:lblOffset val="100"/>
        <c:noMultiLvlLbl val="0"/>
      </c:catAx>
      <c:valAx>
        <c:axId val="9326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948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สัดส่วน Passed / Failed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6a34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c262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สรุปผล!$A$4:$A$5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สรุปผล!$B$4:$B$5</c:f>
              <c:numCache>
                <c:formatCode>0</c:formatCode>
                <c:ptCount val="2"/>
                <c:pt idx="0">
                  <c:v>57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เวลารันต่อคลาส (วินาที)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สรุปผล!F9</c:f>
              <c:strCache>
                <c:ptCount val="1"/>
                <c:pt idx="0">
                  <c:v>เวลา (วินาที)</c:v>
                </c:pt>
              </c:strCache>
            </c:strRef>
          </c:tx>
          <c:spPr>
            <a:solidFill>
              <a:srgbClr val="3b82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สรุปผล!$A$10:$A$15</c:f>
              <c:strCache>
                <c:ptCount val="6"/>
                <c:pt idx="0">
                  <c:v>MemberServiceImplTest</c:v>
                </c:pt>
                <c:pt idx="1">
                  <c:v>MembershipServiceImplTest</c:v>
                </c:pt>
                <c:pt idx="2">
                  <c:v>MembershipPlanServiceImplTest</c:v>
                </c:pt>
                <c:pt idx="3">
                  <c:v>TrainerServiceImplTest</c:v>
                </c:pt>
                <c:pt idx="4">
                  <c:v>MemberInfoServiceImplTest</c:v>
                </c:pt>
                <c:pt idx="5">
                  <c:v>TrainingSessionServiceImplTest</c:v>
                </c:pt>
              </c:strCache>
            </c:strRef>
          </c:cat>
          <c:val>
            <c:numRef>
              <c:f>สรุปผล!$F$10:$F$15</c:f>
              <c:numCache>
                <c:formatCode>0.000</c:formatCode>
                <c:ptCount val="6"/>
                <c:pt idx="0">
                  <c:v>0.549</c:v>
                </c:pt>
                <c:pt idx="1">
                  <c:v>0.063</c:v>
                </c:pt>
                <c:pt idx="2">
                  <c:v>0.016</c:v>
                </c:pt>
                <c:pt idx="3">
                  <c:v>0.02</c:v>
                </c:pt>
                <c:pt idx="4">
                  <c:v>0.026</c:v>
                </c:pt>
                <c:pt idx="5">
                  <c:v>0.04</c:v>
                </c:pt>
              </c:numCache>
            </c:numRef>
          </c:val>
        </c:ser>
        <c:gapWidth val="150"/>
        <c:overlap val="0"/>
        <c:axId val="80423887"/>
        <c:axId val="51032514"/>
      </c:barChart>
      <c:catAx>
        <c:axId val="8042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32514"/>
        <c:crosses val="autoZero"/>
        <c:auto val="1"/>
        <c:lblAlgn val="ctr"/>
        <c:lblOffset val="100"/>
        <c:noMultiLvlLbl val="0"/>
      </c:catAx>
      <c:valAx>
        <c:axId val="51032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238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100800</xdr:rowOff>
    </xdr:from>
    <xdr:to>
      <xdr:col>4</xdr:col>
      <xdr:colOff>42840</xdr:colOff>
      <xdr:row>35</xdr:row>
      <xdr:rowOff>112320</xdr:rowOff>
    </xdr:to>
    <xdr:graphicFrame>
      <xdr:nvGraphicFramePr>
        <xdr:cNvPr id="0" name="Chart 1"/>
        <xdr:cNvGraphicFramePr/>
      </xdr:nvGraphicFramePr>
      <xdr:xfrm>
        <a:off x="0" y="3809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100800</xdr:rowOff>
    </xdr:from>
    <xdr:to>
      <xdr:col>10</xdr:col>
      <xdr:colOff>340200</xdr:colOff>
      <xdr:row>35</xdr:row>
      <xdr:rowOff>112320</xdr:rowOff>
    </xdr:to>
    <xdr:graphicFrame>
      <xdr:nvGraphicFramePr>
        <xdr:cNvPr id="1" name="Chart 2"/>
        <xdr:cNvGraphicFramePr/>
      </xdr:nvGraphicFramePr>
      <xdr:xfrm>
        <a:off x="6343560" y="3809880"/>
        <a:ext cx="39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100800</xdr:rowOff>
    </xdr:from>
    <xdr:to>
      <xdr:col>4</xdr:col>
      <xdr:colOff>42840</xdr:colOff>
      <xdr:row>53</xdr:row>
      <xdr:rowOff>112320</xdr:rowOff>
    </xdr:to>
    <xdr:graphicFrame>
      <xdr:nvGraphicFramePr>
        <xdr:cNvPr id="2" name="Chart 3"/>
        <xdr:cNvGraphicFramePr/>
      </xdr:nvGraphicFramePr>
      <xdr:xfrm>
        <a:off x="0" y="7238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3.75" hidden="false" customHeight="true" outlineLevel="0" collapsed="false">
      <c r="B5" s="3" t="s">
        <v>2</v>
      </c>
      <c r="C5" s="4" t="s">
        <v>3</v>
      </c>
    </row>
    <row r="6" customFormat="false" ht="33.75" hidden="false" customHeight="true" outlineLevel="0" collapsed="false">
      <c r="B6" s="3" t="s">
        <v>4</v>
      </c>
      <c r="C6" s="4" t="s">
        <v>5</v>
      </c>
    </row>
    <row r="7" customFormat="false" ht="33.75" hidden="false" customHeight="true" outlineLevel="0" collapsed="false">
      <c r="B7" s="3" t="s">
        <v>6</v>
      </c>
      <c r="C7" s="4" t="s">
        <v>7</v>
      </c>
    </row>
    <row r="8" customFormat="false" ht="21.75" hidden="false" customHeight="true" outlineLevel="0" collapsed="false">
      <c r="B8" s="3" t="s">
        <v>8</v>
      </c>
      <c r="C8" s="4" t="s">
        <v>9</v>
      </c>
    </row>
    <row r="9" customFormat="false" ht="21.75" hidden="false" customHeight="true" outlineLevel="0" collapsed="false">
      <c r="B9" s="3" t="s">
        <v>10</v>
      </c>
      <c r="C9" s="4" t="s">
        <v>11</v>
      </c>
    </row>
    <row r="10" customFormat="false" ht="21.75" hidden="false" customHeight="true" outlineLevel="0" collapsed="false">
      <c r="B10" s="3" t="s">
        <v>12</v>
      </c>
      <c r="C10" s="4" t="s">
        <v>13</v>
      </c>
    </row>
    <row r="11" customFormat="false" ht="21.75" hidden="false" customHeight="true" outlineLevel="0" collapsed="false">
      <c r="B11" s="3" t="s">
        <v>14</v>
      </c>
      <c r="C11" s="4" t="s">
        <v>15</v>
      </c>
    </row>
    <row r="12" customFormat="false" ht="21.75" hidden="false" customHeight="true" outlineLevel="0" collapsed="false">
      <c r="B12" s="3" t="s">
        <v>16</v>
      </c>
      <c r="C12" s="4" t="s">
        <v>17</v>
      </c>
    </row>
    <row r="13" customFormat="false" ht="33.75" hidden="false" customHeight="true" outlineLevel="0" collapsed="false">
      <c r="B13" s="3" t="s">
        <v>18</v>
      </c>
      <c r="C13" s="4" t="s">
        <v>19</v>
      </c>
    </row>
    <row r="15" customFormat="false" ht="15" hidden="false" customHeight="false" outlineLevel="0" collapsed="false">
      <c r="B15" s="5" t="s">
        <v>20</v>
      </c>
    </row>
    <row r="16" customFormat="false" ht="15" hidden="false" customHeight="false" outlineLevel="0" collapsed="false">
      <c r="B16" s="6" t="s">
        <v>21</v>
      </c>
      <c r="C16" s="7" t="s">
        <v>22</v>
      </c>
    </row>
    <row r="17" customFormat="false" ht="15" hidden="false" customHeight="false" outlineLevel="0" collapsed="false">
      <c r="B17" s="6" t="s">
        <v>23</v>
      </c>
      <c r="C17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4"/>
  </cols>
  <sheetData>
    <row r="1" customFormat="false" ht="22.05" hidden="false" customHeight="false" outlineLevel="0" collapsed="false">
      <c r="A1" s="1" t="s">
        <v>25</v>
      </c>
    </row>
    <row r="3" customFormat="false" ht="15" hidden="false" customHeight="false" outlineLevel="0" collapsed="false">
      <c r="A3" s="8" t="s">
        <v>26</v>
      </c>
      <c r="B3" s="9" t="n">
        <f aca="false">COUNTA(รายละเอียดเทสเคส!A2:A58)</f>
        <v>57</v>
      </c>
    </row>
    <row r="4" customFormat="false" ht="15" hidden="false" customHeight="false" outlineLevel="0" collapsed="false">
      <c r="A4" s="8" t="s">
        <v>27</v>
      </c>
      <c r="B4" s="10" t="n">
        <f aca="false">COUNTIF(รายละเอียดเทสเคส!E2:E58,"PASS")</f>
        <v>57</v>
      </c>
    </row>
    <row r="5" customFormat="false" ht="15" hidden="false" customHeight="false" outlineLevel="0" collapsed="false">
      <c r="A5" s="8" t="s">
        <v>28</v>
      </c>
      <c r="B5" s="9" t="n">
        <f aca="false">COUNTIF(รายละเอียดเทสเคส!E2:E58,"FAIL")</f>
        <v>0</v>
      </c>
    </row>
    <row r="6" customFormat="false" ht="15" hidden="false" customHeight="false" outlineLevel="0" collapsed="false">
      <c r="A6" s="8" t="s">
        <v>29</v>
      </c>
      <c r="B6" s="11" t="n">
        <f aca="false">IF(B3=0,0,B4/B3)</f>
        <v>1</v>
      </c>
    </row>
    <row r="9" customFormat="false" ht="15" hidden="false" customHeight="false" outlineLevel="0" collapsed="false">
      <c r="A9" s="12" t="s">
        <v>30</v>
      </c>
      <c r="B9" s="12" t="s">
        <v>31</v>
      </c>
      <c r="C9" s="12" t="s">
        <v>27</v>
      </c>
      <c r="D9" s="12" t="s">
        <v>28</v>
      </c>
      <c r="E9" s="12" t="s">
        <v>29</v>
      </c>
      <c r="F9" s="12" t="s">
        <v>32</v>
      </c>
      <c r="G9" s="12" t="s">
        <v>33</v>
      </c>
    </row>
    <row r="10" customFormat="false" ht="15" hidden="false" customHeight="false" outlineLevel="0" collapsed="false">
      <c r="A10" s="13" t="s">
        <v>34</v>
      </c>
      <c r="B10" s="14" t="n">
        <f aca="false">COUNTIF(รายละเอียดเทสเคส!$B$2:$B$58,A10)</f>
        <v>14</v>
      </c>
      <c r="C10" s="14" t="n">
        <f aca="false">COUNTIFS(รายละเอียดเทสเคส!$B$2:$B$58,A10,รายละเอียดเทสเคส!$E$2:$E$58,"PASS")</f>
        <v>14</v>
      </c>
      <c r="D10" s="14" t="n">
        <f aca="false">B10-C10</f>
        <v>0</v>
      </c>
      <c r="E10" s="15" t="n">
        <f aca="false">IF(B10=0,0,C10/B10)</f>
        <v>1</v>
      </c>
      <c r="F10" s="16" t="n">
        <v>0.549</v>
      </c>
      <c r="G10" s="14" t="str">
        <f aca="false">IF(D10=0,"PASS","FAIL")</f>
        <v>PASS</v>
      </c>
    </row>
    <row r="11" customFormat="false" ht="15" hidden="false" customHeight="false" outlineLevel="0" collapsed="false">
      <c r="A11" s="17" t="s">
        <v>35</v>
      </c>
      <c r="B11" s="18" t="n">
        <f aca="false">COUNTIF(รายละเอียดเทสเคส!$B$2:$B$58,A11)</f>
        <v>9</v>
      </c>
      <c r="C11" s="18" t="n">
        <f aca="false">COUNTIFS(รายละเอียดเทสเคส!$B$2:$B$58,A11,รายละเอียดเทสเคส!$E$2:$E$58,"PASS")</f>
        <v>9</v>
      </c>
      <c r="D11" s="18" t="n">
        <f aca="false">B11-C11</f>
        <v>0</v>
      </c>
      <c r="E11" s="19" t="n">
        <f aca="false">IF(B11=0,0,C11/B11)</f>
        <v>1</v>
      </c>
      <c r="F11" s="20" t="n">
        <v>0.063</v>
      </c>
      <c r="G11" s="18" t="str">
        <f aca="false">IF(D11=0,"PASS","FAIL")</f>
        <v>PASS</v>
      </c>
    </row>
    <row r="12" customFormat="false" ht="15" hidden="false" customHeight="false" outlineLevel="0" collapsed="false">
      <c r="A12" s="13" t="s">
        <v>36</v>
      </c>
      <c r="B12" s="14" t="n">
        <f aca="false">COUNTIF(รายละเอียดเทสเคส!$B$2:$B$58,A12)</f>
        <v>7</v>
      </c>
      <c r="C12" s="14" t="n">
        <f aca="false">COUNTIFS(รายละเอียดเทสเคส!$B$2:$B$58,A12,รายละเอียดเทสเคส!$E$2:$E$58,"PASS")</f>
        <v>7</v>
      </c>
      <c r="D12" s="14" t="n">
        <f aca="false">B12-C12</f>
        <v>0</v>
      </c>
      <c r="E12" s="15" t="n">
        <f aca="false">IF(B12=0,0,C12/B12)</f>
        <v>1</v>
      </c>
      <c r="F12" s="16" t="n">
        <v>0.016</v>
      </c>
      <c r="G12" s="14" t="str">
        <f aca="false">IF(D12=0,"PASS","FAIL")</f>
        <v>PASS</v>
      </c>
    </row>
    <row r="13" customFormat="false" ht="15" hidden="false" customHeight="false" outlineLevel="0" collapsed="false">
      <c r="A13" s="17" t="s">
        <v>37</v>
      </c>
      <c r="B13" s="18" t="n">
        <f aca="false">COUNTIF(รายละเอียดเทสเคส!$B$2:$B$58,A13)</f>
        <v>7</v>
      </c>
      <c r="C13" s="18" t="n">
        <f aca="false">COUNTIFS(รายละเอียดเทสเคส!$B$2:$B$58,A13,รายละเอียดเทสเคส!$E$2:$E$58,"PASS")</f>
        <v>7</v>
      </c>
      <c r="D13" s="18" t="n">
        <f aca="false">B13-C13</f>
        <v>0</v>
      </c>
      <c r="E13" s="19" t="n">
        <f aca="false">IF(B13=0,0,C13/B13)</f>
        <v>1</v>
      </c>
      <c r="F13" s="20" t="n">
        <v>0.02</v>
      </c>
      <c r="G13" s="18" t="str">
        <f aca="false">IF(D13=0,"PASS","FAIL")</f>
        <v>PASS</v>
      </c>
    </row>
    <row r="14" customFormat="false" ht="15" hidden="false" customHeight="false" outlineLevel="0" collapsed="false">
      <c r="A14" s="13" t="s">
        <v>38</v>
      </c>
      <c r="B14" s="14" t="n">
        <f aca="false">COUNTIF(รายละเอียดเทสเคส!$B$2:$B$58,A14)</f>
        <v>12</v>
      </c>
      <c r="C14" s="14" t="n">
        <f aca="false">COUNTIFS(รายละเอียดเทสเคส!$B$2:$B$58,A14,รายละเอียดเทสเคส!$E$2:$E$58,"PASS")</f>
        <v>12</v>
      </c>
      <c r="D14" s="14" t="n">
        <f aca="false">B14-C14</f>
        <v>0</v>
      </c>
      <c r="E14" s="15" t="n">
        <f aca="false">IF(B14=0,0,C14/B14)</f>
        <v>1</v>
      </c>
      <c r="F14" s="16" t="n">
        <v>0.026</v>
      </c>
      <c r="G14" s="14" t="str">
        <f aca="false">IF(D14=0,"PASS","FAIL")</f>
        <v>PASS</v>
      </c>
    </row>
    <row r="15" customFormat="false" ht="15" hidden="false" customHeight="false" outlineLevel="0" collapsed="false">
      <c r="A15" s="17" t="s">
        <v>39</v>
      </c>
      <c r="B15" s="18" t="n">
        <f aca="false">COUNTIF(รายละเอียดเทสเคส!$B$2:$B$58,A15)</f>
        <v>8</v>
      </c>
      <c r="C15" s="18" t="n">
        <f aca="false">COUNTIFS(รายละเอียดเทสเคส!$B$2:$B$58,A15,รายละเอียดเทสเคส!$E$2:$E$58,"PASS")</f>
        <v>8</v>
      </c>
      <c r="D15" s="18" t="n">
        <f aca="false">B15-C15</f>
        <v>0</v>
      </c>
      <c r="E15" s="19" t="n">
        <f aca="false">IF(B15=0,0,C15/B15)</f>
        <v>1</v>
      </c>
      <c r="F15" s="20" t="n">
        <v>0.04</v>
      </c>
      <c r="G15" s="18" t="str">
        <f aca="false">IF(D15=0,"PASS","FAIL")</f>
        <v>PASS</v>
      </c>
    </row>
    <row r="16" customFormat="false" ht="15" hidden="false" customHeight="false" outlineLevel="0" collapsed="false">
      <c r="A16" s="21" t="s">
        <v>40</v>
      </c>
      <c r="B16" s="22" t="n">
        <f aca="false">SUM(B10:B15)</f>
        <v>57</v>
      </c>
      <c r="C16" s="22" t="n">
        <f aca="false">SUM(C10:C15)</f>
        <v>57</v>
      </c>
      <c r="D16" s="22" t="n">
        <f aca="false">SUM(D10:D15)</f>
        <v>0</v>
      </c>
      <c r="E16" s="23" t="n">
        <f aca="false">IF(B16=0,0,C16/B16)</f>
        <v>1</v>
      </c>
      <c r="F16" s="24" t="n">
        <f aca="false">SUM(F10:F15)</f>
        <v>0.714</v>
      </c>
      <c r="G16" s="22" t="str">
        <f aca="false">IF(D16=0,"PASS","FAIL")</f>
        <v>PASS</v>
      </c>
    </row>
    <row r="17" customFormat="false" ht="15" hidden="false" customHeight="false" outlineLevel="0" collapsed="false">
      <c r="A17" s="25" t="s">
        <v>41</v>
      </c>
    </row>
    <row r="18" customFormat="false" ht="15" hidden="false" customHeight="false" outlineLevel="0" collapsed="false">
      <c r="A18" s="2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24" hidden="false" customHeight="true" outlineLevel="0" collapsed="false">
      <c r="A1" s="26" t="s">
        <v>43</v>
      </c>
      <c r="B1" s="26" t="s">
        <v>30</v>
      </c>
      <c r="C1" s="26" t="s">
        <v>44</v>
      </c>
      <c r="D1" s="26" t="s">
        <v>45</v>
      </c>
      <c r="E1" s="26" t="s">
        <v>46</v>
      </c>
      <c r="F1" s="26" t="s">
        <v>18</v>
      </c>
    </row>
    <row r="2" customFormat="false" ht="15" hidden="false" customHeight="false" outlineLevel="0" collapsed="false">
      <c r="A2" s="14" t="s">
        <v>47</v>
      </c>
      <c r="B2" s="13" t="s">
        <v>34</v>
      </c>
      <c r="C2" s="13" t="s">
        <v>48</v>
      </c>
      <c r="D2" s="27"/>
      <c r="E2" s="28" t="s">
        <v>49</v>
      </c>
      <c r="F2" s="13"/>
    </row>
    <row r="3" customFormat="false" ht="15" hidden="false" customHeight="false" outlineLevel="0" collapsed="false">
      <c r="A3" s="18" t="s">
        <v>50</v>
      </c>
      <c r="B3" s="17" t="s">
        <v>34</v>
      </c>
      <c r="C3" s="17" t="s">
        <v>48</v>
      </c>
      <c r="D3" s="27"/>
      <c r="E3" s="29" t="s">
        <v>49</v>
      </c>
      <c r="F3" s="17"/>
    </row>
    <row r="4" customFormat="false" ht="15" hidden="false" customHeight="false" outlineLevel="0" collapsed="false">
      <c r="A4" s="14" t="s">
        <v>51</v>
      </c>
      <c r="B4" s="13" t="s">
        <v>34</v>
      </c>
      <c r="C4" s="13" t="s">
        <v>48</v>
      </c>
      <c r="D4" s="27"/>
      <c r="E4" s="28" t="s">
        <v>49</v>
      </c>
      <c r="F4" s="13"/>
    </row>
    <row r="5" customFormat="false" ht="15" hidden="false" customHeight="false" outlineLevel="0" collapsed="false">
      <c r="A5" s="18" t="s">
        <v>52</v>
      </c>
      <c r="B5" s="17" t="s">
        <v>34</v>
      </c>
      <c r="C5" s="17" t="s">
        <v>48</v>
      </c>
      <c r="D5" s="27"/>
      <c r="E5" s="29" t="s">
        <v>49</v>
      </c>
      <c r="F5" s="17"/>
    </row>
    <row r="6" customFormat="false" ht="15" hidden="false" customHeight="false" outlineLevel="0" collapsed="false">
      <c r="A6" s="14" t="s">
        <v>53</v>
      </c>
      <c r="B6" s="13" t="s">
        <v>34</v>
      </c>
      <c r="C6" s="13" t="s">
        <v>48</v>
      </c>
      <c r="D6" s="27"/>
      <c r="E6" s="28" t="s">
        <v>49</v>
      </c>
      <c r="F6" s="13"/>
    </row>
    <row r="7" customFormat="false" ht="15" hidden="false" customHeight="false" outlineLevel="0" collapsed="false">
      <c r="A7" s="18" t="s">
        <v>54</v>
      </c>
      <c r="B7" s="17" t="s">
        <v>34</v>
      </c>
      <c r="C7" s="17" t="s">
        <v>48</v>
      </c>
      <c r="D7" s="27"/>
      <c r="E7" s="29" t="s">
        <v>49</v>
      </c>
      <c r="F7" s="17"/>
    </row>
    <row r="8" customFormat="false" ht="15" hidden="false" customHeight="false" outlineLevel="0" collapsed="false">
      <c r="A8" s="14" t="s">
        <v>55</v>
      </c>
      <c r="B8" s="13" t="s">
        <v>34</v>
      </c>
      <c r="C8" s="13" t="s">
        <v>48</v>
      </c>
      <c r="D8" s="27"/>
      <c r="E8" s="28" t="s">
        <v>49</v>
      </c>
      <c r="F8" s="13"/>
    </row>
    <row r="9" customFormat="false" ht="15" hidden="false" customHeight="false" outlineLevel="0" collapsed="false">
      <c r="A9" s="18" t="s">
        <v>56</v>
      </c>
      <c r="B9" s="17" t="s">
        <v>34</v>
      </c>
      <c r="C9" s="17" t="s">
        <v>48</v>
      </c>
      <c r="D9" s="27"/>
      <c r="E9" s="29" t="s">
        <v>49</v>
      </c>
      <c r="F9" s="17"/>
    </row>
    <row r="10" customFormat="false" ht="15" hidden="false" customHeight="false" outlineLevel="0" collapsed="false">
      <c r="A10" s="14" t="s">
        <v>57</v>
      </c>
      <c r="B10" s="13" t="s">
        <v>34</v>
      </c>
      <c r="C10" s="13" t="s">
        <v>48</v>
      </c>
      <c r="D10" s="27"/>
      <c r="E10" s="28" t="s">
        <v>49</v>
      </c>
      <c r="F10" s="13"/>
    </row>
    <row r="11" customFormat="false" ht="15" hidden="false" customHeight="false" outlineLevel="0" collapsed="false">
      <c r="A11" s="18" t="s">
        <v>58</v>
      </c>
      <c r="B11" s="17" t="s">
        <v>34</v>
      </c>
      <c r="C11" s="17" t="s">
        <v>48</v>
      </c>
      <c r="D11" s="27"/>
      <c r="E11" s="29" t="s">
        <v>49</v>
      </c>
      <c r="F11" s="17"/>
    </row>
    <row r="12" customFormat="false" ht="15" hidden="false" customHeight="false" outlineLevel="0" collapsed="false">
      <c r="A12" s="14" t="s">
        <v>59</v>
      </c>
      <c r="B12" s="13" t="s">
        <v>34</v>
      </c>
      <c r="C12" s="13" t="s">
        <v>48</v>
      </c>
      <c r="D12" s="27"/>
      <c r="E12" s="28" t="s">
        <v>49</v>
      </c>
      <c r="F12" s="13"/>
    </row>
    <row r="13" customFormat="false" ht="15" hidden="false" customHeight="false" outlineLevel="0" collapsed="false">
      <c r="A13" s="18" t="s">
        <v>60</v>
      </c>
      <c r="B13" s="17" t="s">
        <v>34</v>
      </c>
      <c r="C13" s="17" t="s">
        <v>48</v>
      </c>
      <c r="D13" s="27"/>
      <c r="E13" s="29" t="s">
        <v>49</v>
      </c>
      <c r="F13" s="17"/>
    </row>
    <row r="14" customFormat="false" ht="15" hidden="false" customHeight="false" outlineLevel="0" collapsed="false">
      <c r="A14" s="14" t="s">
        <v>61</v>
      </c>
      <c r="B14" s="13" t="s">
        <v>34</v>
      </c>
      <c r="C14" s="13" t="s">
        <v>48</v>
      </c>
      <c r="D14" s="27"/>
      <c r="E14" s="28" t="s">
        <v>49</v>
      </c>
      <c r="F14" s="13"/>
    </row>
    <row r="15" customFormat="false" ht="15" hidden="false" customHeight="false" outlineLevel="0" collapsed="false">
      <c r="A15" s="18" t="s">
        <v>62</v>
      </c>
      <c r="B15" s="17" t="s">
        <v>34</v>
      </c>
      <c r="C15" s="17" t="s">
        <v>48</v>
      </c>
      <c r="D15" s="27"/>
      <c r="E15" s="29" t="s">
        <v>49</v>
      </c>
      <c r="F15" s="17"/>
    </row>
    <row r="16" customFormat="false" ht="15" hidden="false" customHeight="false" outlineLevel="0" collapsed="false">
      <c r="A16" s="14" t="s">
        <v>63</v>
      </c>
      <c r="B16" s="13" t="s">
        <v>35</v>
      </c>
      <c r="C16" s="13" t="s">
        <v>64</v>
      </c>
      <c r="D16" s="27"/>
      <c r="E16" s="28" t="s">
        <v>49</v>
      </c>
      <c r="F16" s="13"/>
    </row>
    <row r="17" customFormat="false" ht="15" hidden="false" customHeight="false" outlineLevel="0" collapsed="false">
      <c r="A17" s="18" t="s">
        <v>65</v>
      </c>
      <c r="B17" s="17" t="s">
        <v>35</v>
      </c>
      <c r="C17" s="17" t="s">
        <v>64</v>
      </c>
      <c r="D17" s="27"/>
      <c r="E17" s="29" t="s">
        <v>49</v>
      </c>
      <c r="F17" s="17"/>
    </row>
    <row r="18" customFormat="false" ht="15" hidden="false" customHeight="false" outlineLevel="0" collapsed="false">
      <c r="A18" s="14" t="s">
        <v>66</v>
      </c>
      <c r="B18" s="13" t="s">
        <v>35</v>
      </c>
      <c r="C18" s="13" t="s">
        <v>64</v>
      </c>
      <c r="D18" s="27"/>
      <c r="E18" s="28" t="s">
        <v>49</v>
      </c>
      <c r="F18" s="13"/>
    </row>
    <row r="19" customFormat="false" ht="15" hidden="false" customHeight="false" outlineLevel="0" collapsed="false">
      <c r="A19" s="18" t="s">
        <v>67</v>
      </c>
      <c r="B19" s="17" t="s">
        <v>35</v>
      </c>
      <c r="C19" s="17" t="s">
        <v>64</v>
      </c>
      <c r="D19" s="27"/>
      <c r="E19" s="29" t="s">
        <v>49</v>
      </c>
      <c r="F19" s="17"/>
    </row>
    <row r="20" customFormat="false" ht="15" hidden="false" customHeight="false" outlineLevel="0" collapsed="false">
      <c r="A20" s="14" t="s">
        <v>68</v>
      </c>
      <c r="B20" s="13" t="s">
        <v>35</v>
      </c>
      <c r="C20" s="13" t="s">
        <v>64</v>
      </c>
      <c r="D20" s="27"/>
      <c r="E20" s="28" t="s">
        <v>49</v>
      </c>
      <c r="F20" s="13"/>
    </row>
    <row r="21" customFormat="false" ht="15" hidden="false" customHeight="false" outlineLevel="0" collapsed="false">
      <c r="A21" s="18" t="s">
        <v>69</v>
      </c>
      <c r="B21" s="17" t="s">
        <v>35</v>
      </c>
      <c r="C21" s="17" t="s">
        <v>64</v>
      </c>
      <c r="D21" s="27"/>
      <c r="E21" s="29" t="s">
        <v>49</v>
      </c>
      <c r="F21" s="17"/>
    </row>
    <row r="22" customFormat="false" ht="15" hidden="false" customHeight="false" outlineLevel="0" collapsed="false">
      <c r="A22" s="14" t="s">
        <v>70</v>
      </c>
      <c r="B22" s="13" t="s">
        <v>35</v>
      </c>
      <c r="C22" s="13" t="s">
        <v>64</v>
      </c>
      <c r="D22" s="27"/>
      <c r="E22" s="28" t="s">
        <v>49</v>
      </c>
      <c r="F22" s="13"/>
    </row>
    <row r="23" customFormat="false" ht="15" hidden="false" customHeight="false" outlineLevel="0" collapsed="false">
      <c r="A23" s="18" t="s">
        <v>71</v>
      </c>
      <c r="B23" s="17" t="s">
        <v>35</v>
      </c>
      <c r="C23" s="17" t="s">
        <v>64</v>
      </c>
      <c r="D23" s="27"/>
      <c r="E23" s="29" t="s">
        <v>49</v>
      </c>
      <c r="F23" s="17"/>
    </row>
    <row r="24" customFormat="false" ht="15" hidden="false" customHeight="false" outlineLevel="0" collapsed="false">
      <c r="A24" s="14" t="s">
        <v>72</v>
      </c>
      <c r="B24" s="13" t="s">
        <v>35</v>
      </c>
      <c r="C24" s="13" t="s">
        <v>64</v>
      </c>
      <c r="D24" s="27"/>
      <c r="E24" s="28" t="s">
        <v>49</v>
      </c>
      <c r="F24" s="13"/>
    </row>
    <row r="25" customFormat="false" ht="15" hidden="false" customHeight="false" outlineLevel="0" collapsed="false">
      <c r="A25" s="18" t="s">
        <v>73</v>
      </c>
      <c r="B25" s="17" t="s">
        <v>36</v>
      </c>
      <c r="C25" s="17" t="s">
        <v>74</v>
      </c>
      <c r="D25" s="27"/>
      <c r="E25" s="29" t="s">
        <v>49</v>
      </c>
      <c r="F25" s="17"/>
    </row>
    <row r="26" customFormat="false" ht="15" hidden="false" customHeight="false" outlineLevel="0" collapsed="false">
      <c r="A26" s="14" t="s">
        <v>75</v>
      </c>
      <c r="B26" s="13" t="s">
        <v>36</v>
      </c>
      <c r="C26" s="13" t="s">
        <v>74</v>
      </c>
      <c r="D26" s="27"/>
      <c r="E26" s="28" t="s">
        <v>49</v>
      </c>
      <c r="F26" s="13"/>
    </row>
    <row r="27" customFormat="false" ht="15" hidden="false" customHeight="false" outlineLevel="0" collapsed="false">
      <c r="A27" s="18" t="s">
        <v>76</v>
      </c>
      <c r="B27" s="17" t="s">
        <v>36</v>
      </c>
      <c r="C27" s="17" t="s">
        <v>74</v>
      </c>
      <c r="D27" s="27"/>
      <c r="E27" s="29" t="s">
        <v>49</v>
      </c>
      <c r="F27" s="17"/>
    </row>
    <row r="28" customFormat="false" ht="15" hidden="false" customHeight="false" outlineLevel="0" collapsed="false">
      <c r="A28" s="14" t="s">
        <v>77</v>
      </c>
      <c r="B28" s="13" t="s">
        <v>36</v>
      </c>
      <c r="C28" s="13" t="s">
        <v>74</v>
      </c>
      <c r="D28" s="27"/>
      <c r="E28" s="28" t="s">
        <v>49</v>
      </c>
      <c r="F28" s="13"/>
    </row>
    <row r="29" customFormat="false" ht="15" hidden="false" customHeight="false" outlineLevel="0" collapsed="false">
      <c r="A29" s="18" t="s">
        <v>78</v>
      </c>
      <c r="B29" s="17" t="s">
        <v>36</v>
      </c>
      <c r="C29" s="17" t="s">
        <v>74</v>
      </c>
      <c r="D29" s="27"/>
      <c r="E29" s="29" t="s">
        <v>49</v>
      </c>
      <c r="F29" s="17"/>
    </row>
    <row r="30" customFormat="false" ht="15" hidden="false" customHeight="false" outlineLevel="0" collapsed="false">
      <c r="A30" s="14" t="s">
        <v>79</v>
      </c>
      <c r="B30" s="13" t="s">
        <v>36</v>
      </c>
      <c r="C30" s="13" t="s">
        <v>74</v>
      </c>
      <c r="D30" s="27"/>
      <c r="E30" s="28" t="s">
        <v>49</v>
      </c>
      <c r="F30" s="13"/>
    </row>
    <row r="31" customFormat="false" ht="15" hidden="false" customHeight="false" outlineLevel="0" collapsed="false">
      <c r="A31" s="18" t="s">
        <v>80</v>
      </c>
      <c r="B31" s="17" t="s">
        <v>36</v>
      </c>
      <c r="C31" s="17" t="s">
        <v>74</v>
      </c>
      <c r="D31" s="27"/>
      <c r="E31" s="29" t="s">
        <v>49</v>
      </c>
      <c r="F31" s="17"/>
    </row>
    <row r="32" customFormat="false" ht="15" hidden="false" customHeight="false" outlineLevel="0" collapsed="false">
      <c r="A32" s="14" t="s">
        <v>81</v>
      </c>
      <c r="B32" s="13" t="s">
        <v>37</v>
      </c>
      <c r="C32" s="13" t="s">
        <v>82</v>
      </c>
      <c r="D32" s="27"/>
      <c r="E32" s="28" t="s">
        <v>49</v>
      </c>
      <c r="F32" s="13"/>
    </row>
    <row r="33" customFormat="false" ht="15" hidden="false" customHeight="false" outlineLevel="0" collapsed="false">
      <c r="A33" s="18" t="s">
        <v>83</v>
      </c>
      <c r="B33" s="17" t="s">
        <v>37</v>
      </c>
      <c r="C33" s="17" t="s">
        <v>82</v>
      </c>
      <c r="D33" s="27"/>
      <c r="E33" s="29" t="s">
        <v>49</v>
      </c>
      <c r="F33" s="17"/>
    </row>
    <row r="34" customFormat="false" ht="15" hidden="false" customHeight="false" outlineLevel="0" collapsed="false">
      <c r="A34" s="14" t="s">
        <v>84</v>
      </c>
      <c r="B34" s="13" t="s">
        <v>37</v>
      </c>
      <c r="C34" s="13" t="s">
        <v>82</v>
      </c>
      <c r="D34" s="27"/>
      <c r="E34" s="28" t="s">
        <v>49</v>
      </c>
      <c r="F34" s="13"/>
    </row>
    <row r="35" customFormat="false" ht="15" hidden="false" customHeight="false" outlineLevel="0" collapsed="false">
      <c r="A35" s="18" t="s">
        <v>85</v>
      </c>
      <c r="B35" s="17" t="s">
        <v>37</v>
      </c>
      <c r="C35" s="17" t="s">
        <v>82</v>
      </c>
      <c r="D35" s="27"/>
      <c r="E35" s="29" t="s">
        <v>49</v>
      </c>
      <c r="F35" s="17"/>
    </row>
    <row r="36" customFormat="false" ht="15" hidden="false" customHeight="false" outlineLevel="0" collapsed="false">
      <c r="A36" s="14" t="s">
        <v>86</v>
      </c>
      <c r="B36" s="13" t="s">
        <v>37</v>
      </c>
      <c r="C36" s="13" t="s">
        <v>82</v>
      </c>
      <c r="D36" s="27"/>
      <c r="E36" s="28" t="s">
        <v>49</v>
      </c>
      <c r="F36" s="13"/>
    </row>
    <row r="37" customFormat="false" ht="15" hidden="false" customHeight="false" outlineLevel="0" collapsed="false">
      <c r="A37" s="18" t="s">
        <v>87</v>
      </c>
      <c r="B37" s="17" t="s">
        <v>37</v>
      </c>
      <c r="C37" s="17" t="s">
        <v>82</v>
      </c>
      <c r="D37" s="27"/>
      <c r="E37" s="29" t="s">
        <v>49</v>
      </c>
      <c r="F37" s="17"/>
    </row>
    <row r="38" customFormat="false" ht="15" hidden="false" customHeight="false" outlineLevel="0" collapsed="false">
      <c r="A38" s="14" t="s">
        <v>88</v>
      </c>
      <c r="B38" s="13" t="s">
        <v>37</v>
      </c>
      <c r="C38" s="13" t="s">
        <v>82</v>
      </c>
      <c r="D38" s="27"/>
      <c r="E38" s="28" t="s">
        <v>49</v>
      </c>
      <c r="F38" s="13"/>
    </row>
    <row r="39" customFormat="false" ht="15" hidden="false" customHeight="false" outlineLevel="0" collapsed="false">
      <c r="A39" s="18" t="s">
        <v>89</v>
      </c>
      <c r="B39" s="17" t="s">
        <v>38</v>
      </c>
      <c r="C39" s="17" t="s">
        <v>90</v>
      </c>
      <c r="D39" s="27"/>
      <c r="E39" s="29" t="s">
        <v>49</v>
      </c>
      <c r="F39" s="17"/>
    </row>
    <row r="40" customFormat="false" ht="15" hidden="false" customHeight="false" outlineLevel="0" collapsed="false">
      <c r="A40" s="14" t="s">
        <v>91</v>
      </c>
      <c r="B40" s="13" t="s">
        <v>38</v>
      </c>
      <c r="C40" s="13" t="s">
        <v>90</v>
      </c>
      <c r="D40" s="27"/>
      <c r="E40" s="28" t="s">
        <v>49</v>
      </c>
      <c r="F40" s="13"/>
    </row>
    <row r="41" customFormat="false" ht="15" hidden="false" customHeight="false" outlineLevel="0" collapsed="false">
      <c r="A41" s="18" t="s">
        <v>92</v>
      </c>
      <c r="B41" s="17" t="s">
        <v>38</v>
      </c>
      <c r="C41" s="17" t="s">
        <v>90</v>
      </c>
      <c r="D41" s="27"/>
      <c r="E41" s="29" t="s">
        <v>49</v>
      </c>
      <c r="F41" s="17"/>
    </row>
    <row r="42" customFormat="false" ht="15" hidden="false" customHeight="false" outlineLevel="0" collapsed="false">
      <c r="A42" s="14" t="s">
        <v>93</v>
      </c>
      <c r="B42" s="13" t="s">
        <v>38</v>
      </c>
      <c r="C42" s="13" t="s">
        <v>90</v>
      </c>
      <c r="D42" s="27"/>
      <c r="E42" s="28" t="s">
        <v>49</v>
      </c>
      <c r="F42" s="13"/>
    </row>
    <row r="43" customFormat="false" ht="15" hidden="false" customHeight="false" outlineLevel="0" collapsed="false">
      <c r="A43" s="18" t="s">
        <v>94</v>
      </c>
      <c r="B43" s="17" t="s">
        <v>38</v>
      </c>
      <c r="C43" s="17" t="s">
        <v>90</v>
      </c>
      <c r="D43" s="27"/>
      <c r="E43" s="29" t="s">
        <v>49</v>
      </c>
      <c r="F43" s="17"/>
    </row>
    <row r="44" customFormat="false" ht="15" hidden="false" customHeight="false" outlineLevel="0" collapsed="false">
      <c r="A44" s="14" t="s">
        <v>95</v>
      </c>
      <c r="B44" s="13" t="s">
        <v>38</v>
      </c>
      <c r="C44" s="13" t="s">
        <v>90</v>
      </c>
      <c r="D44" s="27"/>
      <c r="E44" s="28" t="s">
        <v>49</v>
      </c>
      <c r="F44" s="13"/>
    </row>
    <row r="45" customFormat="false" ht="15" hidden="false" customHeight="false" outlineLevel="0" collapsed="false">
      <c r="A45" s="18" t="s">
        <v>96</v>
      </c>
      <c r="B45" s="17" t="s">
        <v>38</v>
      </c>
      <c r="C45" s="17" t="s">
        <v>90</v>
      </c>
      <c r="D45" s="27"/>
      <c r="E45" s="29" t="s">
        <v>49</v>
      </c>
      <c r="F45" s="17"/>
    </row>
    <row r="46" customFormat="false" ht="15" hidden="false" customHeight="false" outlineLevel="0" collapsed="false">
      <c r="A46" s="14" t="s">
        <v>97</v>
      </c>
      <c r="B46" s="13" t="s">
        <v>38</v>
      </c>
      <c r="C46" s="13" t="s">
        <v>90</v>
      </c>
      <c r="D46" s="27"/>
      <c r="E46" s="28" t="s">
        <v>49</v>
      </c>
      <c r="F46" s="13"/>
    </row>
    <row r="47" customFormat="false" ht="15" hidden="false" customHeight="false" outlineLevel="0" collapsed="false">
      <c r="A47" s="18" t="s">
        <v>98</v>
      </c>
      <c r="B47" s="17" t="s">
        <v>38</v>
      </c>
      <c r="C47" s="17" t="s">
        <v>90</v>
      </c>
      <c r="D47" s="27"/>
      <c r="E47" s="29" t="s">
        <v>49</v>
      </c>
      <c r="F47" s="17"/>
    </row>
    <row r="48" customFormat="false" ht="15" hidden="false" customHeight="false" outlineLevel="0" collapsed="false">
      <c r="A48" s="14" t="s">
        <v>99</v>
      </c>
      <c r="B48" s="13" t="s">
        <v>38</v>
      </c>
      <c r="C48" s="13" t="s">
        <v>90</v>
      </c>
      <c r="D48" s="27"/>
      <c r="E48" s="28" t="s">
        <v>49</v>
      </c>
      <c r="F48" s="13"/>
    </row>
    <row r="49" customFormat="false" ht="15" hidden="false" customHeight="false" outlineLevel="0" collapsed="false">
      <c r="A49" s="18" t="s">
        <v>100</v>
      </c>
      <c r="B49" s="17" t="s">
        <v>38</v>
      </c>
      <c r="C49" s="17" t="s">
        <v>90</v>
      </c>
      <c r="D49" s="27"/>
      <c r="E49" s="29" t="s">
        <v>49</v>
      </c>
      <c r="F49" s="17"/>
    </row>
    <row r="50" customFormat="false" ht="15" hidden="false" customHeight="false" outlineLevel="0" collapsed="false">
      <c r="A50" s="14" t="s">
        <v>101</v>
      </c>
      <c r="B50" s="13" t="s">
        <v>38</v>
      </c>
      <c r="C50" s="13" t="s">
        <v>90</v>
      </c>
      <c r="D50" s="27"/>
      <c r="E50" s="28" t="s">
        <v>49</v>
      </c>
      <c r="F50" s="13"/>
    </row>
    <row r="51" customFormat="false" ht="15" hidden="false" customHeight="false" outlineLevel="0" collapsed="false">
      <c r="A51" s="18" t="s">
        <v>102</v>
      </c>
      <c r="B51" s="17" t="s">
        <v>39</v>
      </c>
      <c r="C51" s="17" t="s">
        <v>103</v>
      </c>
      <c r="D51" s="27"/>
      <c r="E51" s="29" t="s">
        <v>49</v>
      </c>
      <c r="F51" s="17"/>
    </row>
    <row r="52" customFormat="false" ht="15" hidden="false" customHeight="false" outlineLevel="0" collapsed="false">
      <c r="A52" s="14" t="s">
        <v>104</v>
      </c>
      <c r="B52" s="13" t="s">
        <v>39</v>
      </c>
      <c r="C52" s="13" t="s">
        <v>103</v>
      </c>
      <c r="D52" s="27"/>
      <c r="E52" s="28" t="s">
        <v>49</v>
      </c>
      <c r="F52" s="13"/>
    </row>
    <row r="53" customFormat="false" ht="15" hidden="false" customHeight="false" outlineLevel="0" collapsed="false">
      <c r="A53" s="18" t="s">
        <v>105</v>
      </c>
      <c r="B53" s="17" t="s">
        <v>39</v>
      </c>
      <c r="C53" s="17" t="s">
        <v>103</v>
      </c>
      <c r="D53" s="27"/>
      <c r="E53" s="29" t="s">
        <v>49</v>
      </c>
      <c r="F53" s="17"/>
    </row>
    <row r="54" customFormat="false" ht="15" hidden="false" customHeight="false" outlineLevel="0" collapsed="false">
      <c r="A54" s="14" t="s">
        <v>106</v>
      </c>
      <c r="B54" s="13" t="s">
        <v>39</v>
      </c>
      <c r="C54" s="13" t="s">
        <v>103</v>
      </c>
      <c r="D54" s="27"/>
      <c r="E54" s="28" t="s">
        <v>49</v>
      </c>
      <c r="F54" s="13"/>
    </row>
    <row r="55" customFormat="false" ht="15" hidden="false" customHeight="false" outlineLevel="0" collapsed="false">
      <c r="A55" s="18" t="s">
        <v>107</v>
      </c>
      <c r="B55" s="17" t="s">
        <v>39</v>
      </c>
      <c r="C55" s="17" t="s">
        <v>103</v>
      </c>
      <c r="D55" s="27"/>
      <c r="E55" s="29" t="s">
        <v>49</v>
      </c>
      <c r="F55" s="17"/>
    </row>
    <row r="56" customFormat="false" ht="15" hidden="false" customHeight="false" outlineLevel="0" collapsed="false">
      <c r="A56" s="14" t="s">
        <v>108</v>
      </c>
      <c r="B56" s="13" t="s">
        <v>39</v>
      </c>
      <c r="C56" s="13" t="s">
        <v>103</v>
      </c>
      <c r="D56" s="27"/>
      <c r="E56" s="28" t="s">
        <v>49</v>
      </c>
      <c r="F56" s="13"/>
    </row>
    <row r="57" customFormat="false" ht="15" hidden="false" customHeight="false" outlineLevel="0" collapsed="false">
      <c r="A57" s="18" t="s">
        <v>109</v>
      </c>
      <c r="B57" s="17" t="s">
        <v>39</v>
      </c>
      <c r="C57" s="17" t="s">
        <v>103</v>
      </c>
      <c r="D57" s="27"/>
      <c r="E57" s="29" t="s">
        <v>49</v>
      </c>
      <c r="F57" s="17"/>
    </row>
    <row r="58" customFormat="false" ht="15" hidden="false" customHeight="false" outlineLevel="0" collapsed="false">
      <c r="A58" s="14" t="s">
        <v>110</v>
      </c>
      <c r="B58" s="13" t="s">
        <v>39</v>
      </c>
      <c r="C58" s="13" t="s">
        <v>103</v>
      </c>
      <c r="D58" s="27"/>
      <c r="E58" s="28" t="s">
        <v>49</v>
      </c>
      <c r="F58" s="13"/>
    </row>
    <row r="60" customFormat="false" ht="15" hidden="false" customHeight="false" outlineLevel="0" collapsed="false">
      <c r="A60" s="30" t="s">
        <v>111</v>
      </c>
    </row>
  </sheetData>
  <autoFilter ref="A1:F58"/>
  <dataValidations count="1">
    <dataValidation allowBlank="false" errorStyle="stop" operator="between" showDropDown="false" showErrorMessage="false" showInputMessage="false" sqref="E2:E58" type="list">
      <formula1>"PASS,FAIL,SKIPPED"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2026-10-10T11:19:49Z</dcterms:created>
  <dc:creator>openpyxl</dc:creator>
  <dc:description/>
  <dc:language>en-US</dc:language>
  <cp:lastModifiedBy/>
  <dcterms:modified xsi:type="dcterms:W3CDTF">2026-10-10T11:19:52Z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